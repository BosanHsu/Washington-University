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damia\OneDrive\Desktop\"/>
    </mc:Choice>
  </mc:AlternateContent>
  <xr:revisionPtr revIDLastSave="0" documentId="13_ncr:1_{2705557B-1C41-4281-BC1C-ECCE08B0D53D}" xr6:coauthVersionLast="47" xr6:coauthVersionMax="47" xr10:uidLastSave="{00000000-0000-0000-0000-000000000000}"/>
  <bookViews>
    <workbookView xWindow="-110" yWindow="-110" windowWidth="25820" windowHeight="15500" xr2:uid="{00000000-000D-0000-FFFF-FFFF00000000}"/>
  </bookViews>
  <sheets>
    <sheet name="Sheet1" sheetId="1" r:id="rId1"/>
    <sheet name="question C " sheetId="3" r:id="rId2"/>
    <sheet name="question D" sheetId="4" r:id="rId3"/>
  </sheets>
  <definedNames>
    <definedName name="solver_adj" localSheetId="1" hidden="1">'question C '!$D$2:$D$12,'question C '!$B$18:$B$20</definedName>
    <definedName name="solver_adj" localSheetId="2" hidden="1">'question D'!$D$2:$D$12,'question D'!$B$18:$B$20</definedName>
    <definedName name="solver_adj" localSheetId="0" hidden="1">Sheet1!$D$2:$D$12,Sheet1!$B$18:$B$20</definedName>
    <definedName name="solver_cvg" localSheetId="1" hidden="1">0.0001</definedName>
    <definedName name="solver_cvg" localSheetId="2" hidden="1">0.0001</definedName>
    <definedName name="solver_cvg" localSheetId="0" hidden="1">0.0001</definedName>
    <definedName name="solver_drv" localSheetId="1" hidden="1">1</definedName>
    <definedName name="solver_drv" localSheetId="2" hidden="1">1</definedName>
    <definedName name="solver_drv" localSheetId="0" hidden="1">1</definedName>
    <definedName name="solver_eng" localSheetId="1" hidden="1">2</definedName>
    <definedName name="solver_eng" localSheetId="2" hidden="1">2</definedName>
    <definedName name="solver_eng" localSheetId="0" hidden="1">2</definedName>
    <definedName name="solver_est" localSheetId="1" hidden="1">1</definedName>
    <definedName name="solver_est" localSheetId="2" hidden="1">1</definedName>
    <definedName name="solver_est" localSheetId="0" hidden="1">1</definedName>
    <definedName name="solver_itr" localSheetId="1" hidden="1">2147483647</definedName>
    <definedName name="solver_itr" localSheetId="2" hidden="1">2147483647</definedName>
    <definedName name="solver_itr" localSheetId="0" hidden="1">2147483647</definedName>
    <definedName name="solver_lhs1" localSheetId="1" hidden="1">'question C '!$B$18:$B$20</definedName>
    <definedName name="solver_lhs1" localSheetId="2" hidden="1">'question D'!$B$18:$B$20</definedName>
    <definedName name="solver_lhs1" localSheetId="0" hidden="1">Sheet1!$B$18:$B$20</definedName>
    <definedName name="solver_lhs2" localSheetId="1" hidden="1">'question C '!$B$18:$B$20</definedName>
    <definedName name="solver_lhs2" localSheetId="2" hidden="1">'question D'!$B$18:$B$20</definedName>
    <definedName name="solver_lhs2" localSheetId="0" hidden="1">Sheet1!$B$18:$B$20</definedName>
    <definedName name="solver_lhs3" localSheetId="1" hidden="1">'question C '!$D$2:$D$12</definedName>
    <definedName name="solver_lhs3" localSheetId="2" hidden="1">'question D'!$D$2:$D$12</definedName>
    <definedName name="solver_lhs3" localSheetId="0" hidden="1">Sheet1!$D$2:$D$12</definedName>
    <definedName name="solver_lhs4" localSheetId="1" hidden="1">'question C '!$D$2:$D$12</definedName>
    <definedName name="solver_lhs4" localSheetId="2" hidden="1">'question D'!$D$2:$D$12</definedName>
    <definedName name="solver_lhs4" localSheetId="0" hidden="1">Sheet1!$D$2:$D$12</definedName>
    <definedName name="solver_lhs5" localSheetId="1" hidden="1">'question C '!$D$2:$D$12</definedName>
    <definedName name="solver_lhs5" localSheetId="2" hidden="1">'question D'!$D$2:$D$12</definedName>
    <definedName name="solver_lhs5" localSheetId="0" hidden="1">Sheet1!$D$2:$D$12</definedName>
    <definedName name="solver_lhs6" localSheetId="1" hidden="1">'question C '!$H$13</definedName>
    <definedName name="solver_lhs6" localSheetId="2" hidden="1">'question D'!$H$13</definedName>
    <definedName name="solver_lhs6" localSheetId="0" hidden="1">Sheet1!$H$13</definedName>
    <definedName name="solver_mip" localSheetId="1" hidden="1">2147483647</definedName>
    <definedName name="solver_mip" localSheetId="2" hidden="1">2147483647</definedName>
    <definedName name="solver_mip" localSheetId="0" hidden="1">2147483647</definedName>
    <definedName name="solver_mni" localSheetId="1" hidden="1">30</definedName>
    <definedName name="solver_mni" localSheetId="2" hidden="1">30</definedName>
    <definedName name="solver_mni" localSheetId="0" hidden="1">30</definedName>
    <definedName name="solver_mrt" localSheetId="1" hidden="1">0.075</definedName>
    <definedName name="solver_mrt" localSheetId="2" hidden="1">0.075</definedName>
    <definedName name="solver_mrt" localSheetId="0" hidden="1">0.075</definedName>
    <definedName name="solver_msl" localSheetId="1" hidden="1">2</definedName>
    <definedName name="solver_msl" localSheetId="2" hidden="1">2</definedName>
    <definedName name="solver_msl" localSheetId="0" hidden="1">2</definedName>
    <definedName name="solver_neg" localSheetId="1" hidden="1">1</definedName>
    <definedName name="solver_neg" localSheetId="2" hidden="1">1</definedName>
    <definedName name="solver_neg" localSheetId="0" hidden="1">1</definedName>
    <definedName name="solver_nod" localSheetId="1" hidden="1">2147483647</definedName>
    <definedName name="solver_nod" localSheetId="2" hidden="1">2147483647</definedName>
    <definedName name="solver_nod" localSheetId="0" hidden="1">2147483647</definedName>
    <definedName name="solver_num" localSheetId="1" hidden="1">6</definedName>
    <definedName name="solver_num" localSheetId="2" hidden="1">6</definedName>
    <definedName name="solver_num" localSheetId="0" hidden="1">6</definedName>
    <definedName name="solver_nwt" localSheetId="1" hidden="1">1</definedName>
    <definedName name="solver_nwt" localSheetId="2" hidden="1">1</definedName>
    <definedName name="solver_nwt" localSheetId="0" hidden="1">1</definedName>
    <definedName name="solver_opt" localSheetId="1" hidden="1">'question C '!$G$13</definedName>
    <definedName name="solver_opt" localSheetId="2" hidden="1">'question D'!$G$13</definedName>
    <definedName name="solver_opt" localSheetId="0" hidden="1">Sheet1!$G$13</definedName>
    <definedName name="solver_pre" localSheetId="1" hidden="1">0.000001</definedName>
    <definedName name="solver_pre" localSheetId="2" hidden="1">0.000001</definedName>
    <definedName name="solver_pre" localSheetId="0" hidden="1">0.000001</definedName>
    <definedName name="solver_rbv" localSheetId="1" hidden="1">1</definedName>
    <definedName name="solver_rbv" localSheetId="2" hidden="1">1</definedName>
    <definedName name="solver_rbv" localSheetId="0" hidden="1">1</definedName>
    <definedName name="solver_rel1" localSheetId="1" hidden="1">1</definedName>
    <definedName name="solver_rel1" localSheetId="2" hidden="1">1</definedName>
    <definedName name="solver_rel1" localSheetId="0" hidden="1">1</definedName>
    <definedName name="solver_rel2" localSheetId="1" hidden="1">3</definedName>
    <definedName name="solver_rel2" localSheetId="2" hidden="1">3</definedName>
    <definedName name="solver_rel2" localSheetId="0" hidden="1">3</definedName>
    <definedName name="solver_rel3" localSheetId="1" hidden="1">1</definedName>
    <definedName name="solver_rel3" localSheetId="2" hidden="1">1</definedName>
    <definedName name="solver_rel3" localSheetId="0" hidden="1">1</definedName>
    <definedName name="solver_rel4" localSheetId="1" hidden="1">4</definedName>
    <definedName name="solver_rel4" localSheetId="2" hidden="1">4</definedName>
    <definedName name="solver_rel4" localSheetId="0" hidden="1">4</definedName>
    <definedName name="solver_rel5" localSheetId="1" hidden="1">3</definedName>
    <definedName name="solver_rel5" localSheetId="2" hidden="1">3</definedName>
    <definedName name="solver_rel5" localSheetId="0" hidden="1">3</definedName>
    <definedName name="solver_rel6" localSheetId="1" hidden="1">1</definedName>
    <definedName name="solver_rel6" localSheetId="2" hidden="1">1</definedName>
    <definedName name="solver_rel6" localSheetId="0" hidden="1">1</definedName>
    <definedName name="solver_rhs1" localSheetId="1" hidden="1">'question C '!$D$18:$D$20</definedName>
    <definedName name="solver_rhs1" localSheetId="2" hidden="1">'question D'!$D$18:$D$20</definedName>
    <definedName name="solver_rhs1" localSheetId="0" hidden="1">Sheet1!$D$18:$D$20</definedName>
    <definedName name="solver_rhs2" localSheetId="1" hidden="1">'question C '!$C$18:$C$20</definedName>
    <definedName name="solver_rhs2" localSheetId="2" hidden="1">'question D'!$C$18:$C$20</definedName>
    <definedName name="solver_rhs2" localSheetId="0" hidden="1">Sheet1!$C$18:$C$20</definedName>
    <definedName name="solver_rhs3" localSheetId="1" hidden="1">'question C '!$F$2:$F$12</definedName>
    <definedName name="solver_rhs3" localSheetId="2" hidden="1">'question D'!$F$2:$F$12</definedName>
    <definedName name="solver_rhs3" localSheetId="0" hidden="1">Sheet1!$F$2:$F$12</definedName>
    <definedName name="solver_rhs4" localSheetId="1" hidden="1">"integer"</definedName>
    <definedName name="solver_rhs4" localSheetId="2" hidden="1">"integer"</definedName>
    <definedName name="solver_rhs4" localSheetId="0" hidden="1">"integer"</definedName>
    <definedName name="solver_rhs5" localSheetId="1" hidden="1">'question C '!$E$2:$E$12</definedName>
    <definedName name="solver_rhs5" localSheetId="2" hidden="1">'question D'!$E$2:$E$12</definedName>
    <definedName name="solver_rhs5" localSheetId="0" hidden="1">Sheet1!$E$2:$E$12</definedName>
    <definedName name="solver_rhs6" localSheetId="1" hidden="1">'question C '!$H$15</definedName>
    <definedName name="solver_rhs6" localSheetId="2" hidden="1">'question D'!$H$15</definedName>
    <definedName name="solver_rhs6" localSheetId="0" hidden="1">Sheet1!$H$15</definedName>
    <definedName name="solver_rlx" localSheetId="1" hidden="1">2</definedName>
    <definedName name="solver_rlx" localSheetId="2" hidden="1">2</definedName>
    <definedName name="solver_rlx" localSheetId="0" hidden="1">2</definedName>
    <definedName name="solver_rsd" localSheetId="1" hidden="1">0</definedName>
    <definedName name="solver_rsd" localSheetId="2" hidden="1">0</definedName>
    <definedName name="solver_rsd" localSheetId="0" hidden="1">0</definedName>
    <definedName name="solver_scl" localSheetId="1" hidden="1">1</definedName>
    <definedName name="solver_scl" localSheetId="2" hidden="1">1</definedName>
    <definedName name="solver_scl" localSheetId="0" hidden="1">1</definedName>
    <definedName name="solver_sho" localSheetId="1" hidden="1">2</definedName>
    <definedName name="solver_sho" localSheetId="2" hidden="1">2</definedName>
    <definedName name="solver_sho" localSheetId="0" hidden="1">2</definedName>
    <definedName name="solver_ssz" localSheetId="1" hidden="1">100</definedName>
    <definedName name="solver_ssz" localSheetId="2" hidden="1">100</definedName>
    <definedName name="solver_ssz" localSheetId="0" hidden="1">100</definedName>
    <definedName name="solver_tim" localSheetId="1" hidden="1">2147483647</definedName>
    <definedName name="solver_tim" localSheetId="2" hidden="1">2147483647</definedName>
    <definedName name="solver_tim" localSheetId="0" hidden="1">2147483647</definedName>
    <definedName name="solver_tol" localSheetId="1" hidden="1">0.01</definedName>
    <definedName name="solver_tol" localSheetId="2" hidden="1">0.01</definedName>
    <definedName name="solver_tol" localSheetId="0" hidden="1">0.01</definedName>
    <definedName name="solver_typ" localSheetId="1" hidden="1">1</definedName>
    <definedName name="solver_typ" localSheetId="2" hidden="1">1</definedName>
    <definedName name="solver_typ" localSheetId="0" hidden="1">1</definedName>
    <definedName name="solver_val" localSheetId="1" hidden="1">0</definedName>
    <definedName name="solver_val" localSheetId="2" hidden="1">0</definedName>
    <definedName name="solver_val" localSheetId="0" hidden="1">0</definedName>
    <definedName name="solver_ver" localSheetId="1" hidden="1">3</definedName>
    <definedName name="solver_ver" localSheetId="2" hidden="1">3</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 r="H13" i="4"/>
  <c r="H12" i="4"/>
  <c r="G12" i="4"/>
  <c r="H11" i="4"/>
  <c r="G11" i="4"/>
  <c r="H10" i="4"/>
  <c r="G10" i="4"/>
  <c r="H9" i="4"/>
  <c r="G9" i="4"/>
  <c r="H8" i="4"/>
  <c r="G8" i="4"/>
  <c r="H7" i="4"/>
  <c r="G7" i="4"/>
  <c r="H6" i="4"/>
  <c r="G6" i="4"/>
  <c r="H5" i="4"/>
  <c r="G5" i="4"/>
  <c r="H4" i="4"/>
  <c r="G4" i="4"/>
  <c r="H3" i="4"/>
  <c r="G3" i="4"/>
  <c r="H2" i="4"/>
  <c r="G2" i="4"/>
  <c r="H12" i="3"/>
  <c r="G12" i="3"/>
  <c r="H11" i="3"/>
  <c r="G11" i="3"/>
  <c r="H10" i="3"/>
  <c r="G10" i="3"/>
  <c r="H9" i="3"/>
  <c r="G9" i="3"/>
  <c r="H8" i="3"/>
  <c r="G8" i="3"/>
  <c r="H7" i="3"/>
  <c r="G7" i="3"/>
  <c r="H6" i="3"/>
  <c r="G6" i="3"/>
  <c r="H5" i="3"/>
  <c r="G5" i="3"/>
  <c r="H4" i="3"/>
  <c r="G4" i="3"/>
  <c r="H3" i="3"/>
  <c r="G3" i="3"/>
  <c r="H2" i="3"/>
  <c r="G2" i="3"/>
  <c r="H3" i="1"/>
  <c r="H4" i="1"/>
  <c r="H5" i="1"/>
  <c r="H6" i="1"/>
  <c r="H7" i="1"/>
  <c r="H8" i="1"/>
  <c r="H9" i="1"/>
  <c r="H10" i="1"/>
  <c r="H11" i="1"/>
  <c r="H12" i="1"/>
  <c r="H2" i="1"/>
  <c r="G3" i="1"/>
  <c r="G4" i="1"/>
  <c r="G5" i="1"/>
  <c r="G6" i="1"/>
  <c r="G7" i="1"/>
  <c r="G8" i="1"/>
  <c r="G9" i="1"/>
  <c r="G10" i="1"/>
  <c r="G11" i="1"/>
  <c r="G12" i="1"/>
  <c r="G2" i="1"/>
  <c r="G13" i="4" l="1"/>
  <c r="G13" i="3"/>
  <c r="H13" i="3"/>
  <c r="H13" i="1"/>
</calcChain>
</file>

<file path=xl/sharedStrings.xml><?xml version="1.0" encoding="utf-8"?>
<sst xmlns="http://schemas.openxmlformats.org/spreadsheetml/2006/main" count="96" uniqueCount="31">
  <si>
    <t xml:space="preserve">Advertising Medium </t>
  </si>
  <si>
    <t xml:space="preserve">Unit Cost </t>
  </si>
  <si>
    <t>Unit Impact Rating</t>
  </si>
  <si>
    <t>Half-page, Daily paper</t>
  </si>
  <si>
    <t>Full-page, Daily paper</t>
  </si>
  <si>
    <t>Half-page, Sunday paper</t>
  </si>
  <si>
    <t>Full-page, Sunday paper</t>
  </si>
  <si>
    <t>Daytime TV spot</t>
  </si>
  <si>
    <t>Evening TV spot</t>
  </si>
  <si>
    <t>Highway Billboards</t>
  </si>
  <si>
    <t>15-second Radio spot</t>
  </si>
  <si>
    <t>30-second Radio spot</t>
  </si>
  <si>
    <t>Half-page, magazine</t>
  </si>
  <si>
    <t>Full-page, magazine</t>
  </si>
  <si>
    <t>unit</t>
  </si>
  <si>
    <t>Min</t>
  </si>
  <si>
    <t>Max</t>
  </si>
  <si>
    <t>total impact</t>
  </si>
  <si>
    <t>total cost</t>
  </si>
  <si>
    <t>total</t>
  </si>
  <si>
    <t>budget</t>
  </si>
  <si>
    <t>Daily paper ads</t>
  </si>
  <si>
    <t>Sunday paper ads</t>
  </si>
  <si>
    <t>Magazine ads</t>
  </si>
  <si>
    <t>combination total</t>
  </si>
  <si>
    <t xml:space="preserve"> </t>
  </si>
  <si>
    <t>a. to spend 299850 dollars gets 23825 total impact (cell H15)</t>
  </si>
  <si>
    <t xml:space="preserve">b. 1. unit is integer 2. units are must less than Max and greater than Min. 3.total cost should be less than budget </t>
  </si>
  <si>
    <t xml:space="preserve">D. double allowed number of radio ads </t>
  </si>
  <si>
    <t>d. according to question D copy, we double allowed number of radio ads. We find out the total impact is increased from 23825 to 30585. And the total cost is only increased from 299850 to 299950. This way absolutely refined this solution.</t>
  </si>
  <si>
    <t>c. accoding to question c copy, we add evening TV spot ads limitation to 3. And the dataset is same as original dataset. It means to increase evening TV spot ads max limitation cannot refine this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</si>
</sst>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0.00_ ;_ &quot;¥&quot;* \-#,##0.00_ ;_ &quot;¥&quot;* &quot;-&quot;??_ ;_ @_ "/>
    <numFmt numFmtId="171" formatCode="_-[$$-409]* #,##0.00_ ;_-[$$-409]* \-#,##0.00\ ;_-[$$-409]* &quot;-&quot;??_ ;_-@_ "/>
    <numFmt numFmtId="173" formatCode="[$$-409]#,##0.00_ ;\-[$$-409]#,##0.00\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applyAlignment="1">
      <alignment horizontal="center"/>
    </xf>
    <xf numFmtId="173" fontId="0" fillId="0" borderId="0" xfId="1" applyNumberFormat="1" applyFont="1" applyAlignment="1">
      <alignment horizontal="center"/>
    </xf>
    <xf numFmtId="173" fontId="0" fillId="0" borderId="0" xfId="0" applyNumberFormat="1"/>
    <xf numFmtId="171" fontId="0" fillId="0" borderId="0" xfId="0" applyNumberFormat="1"/>
    <xf numFmtId="0" fontId="2" fillId="0" borderId="1" xfId="0" applyFont="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88" workbookViewId="0">
      <selection activeCell="K27" sqref="K27"/>
    </sheetView>
  </sheetViews>
  <sheetFormatPr defaultRowHeight="14.5" x14ac:dyDescent="0.35"/>
  <cols>
    <col min="1" max="1" width="23.36328125" customWidth="1"/>
    <col min="2" max="2" width="27.54296875" customWidth="1"/>
    <col min="3" max="3" width="21.54296875" customWidth="1"/>
    <col min="4" max="4" width="9.26953125" customWidth="1"/>
    <col min="7" max="7" width="11.6328125" customWidth="1"/>
    <col min="8" max="8" width="13.08984375" customWidth="1"/>
  </cols>
  <sheetData>
    <row r="1" spans="1:9" x14ac:dyDescent="0.35">
      <c r="A1" t="s">
        <v>0</v>
      </c>
      <c r="B1" t="s">
        <v>1</v>
      </c>
      <c r="C1" t="s">
        <v>2</v>
      </c>
      <c r="D1" t="s">
        <v>14</v>
      </c>
      <c r="E1" t="s">
        <v>15</v>
      </c>
      <c r="F1" t="s">
        <v>16</v>
      </c>
      <c r="G1" t="s">
        <v>17</v>
      </c>
      <c r="H1" t="s">
        <v>18</v>
      </c>
      <c r="I1" t="s">
        <v>25</v>
      </c>
    </row>
    <row r="2" spans="1:9" x14ac:dyDescent="0.35">
      <c r="A2" t="s">
        <v>3</v>
      </c>
      <c r="B2" s="2">
        <v>800</v>
      </c>
      <c r="C2" s="1">
        <v>55</v>
      </c>
      <c r="D2">
        <v>48</v>
      </c>
      <c r="E2">
        <v>24</v>
      </c>
      <c r="F2">
        <v>48</v>
      </c>
      <c r="G2">
        <f>C2*D2</f>
        <v>2640</v>
      </c>
      <c r="H2" s="3">
        <f>B2*D2</f>
        <v>38400</v>
      </c>
    </row>
    <row r="3" spans="1:9" x14ac:dyDescent="0.35">
      <c r="A3" t="s">
        <v>4</v>
      </c>
      <c r="B3" s="2">
        <v>1400</v>
      </c>
      <c r="C3" s="1">
        <v>75</v>
      </c>
      <c r="D3">
        <v>3</v>
      </c>
      <c r="E3">
        <v>2</v>
      </c>
      <c r="F3">
        <v>48</v>
      </c>
      <c r="G3">
        <f t="shared" ref="G3:G12" si="0">C3*D3</f>
        <v>225</v>
      </c>
      <c r="H3" s="3">
        <f t="shared" ref="H3:H12" si="1">B3*D3</f>
        <v>4200</v>
      </c>
    </row>
    <row r="4" spans="1:9" x14ac:dyDescent="0.35">
      <c r="A4" t="s">
        <v>5</v>
      </c>
      <c r="B4" s="2">
        <v>1200</v>
      </c>
      <c r="C4" s="1">
        <v>65</v>
      </c>
      <c r="D4">
        <v>3</v>
      </c>
      <c r="E4">
        <v>0</v>
      </c>
      <c r="F4">
        <v>8</v>
      </c>
      <c r="G4">
        <f t="shared" si="0"/>
        <v>195</v>
      </c>
      <c r="H4" s="3">
        <f t="shared" si="1"/>
        <v>3600</v>
      </c>
    </row>
    <row r="5" spans="1:9" x14ac:dyDescent="0.35">
      <c r="A5" t="s">
        <v>6</v>
      </c>
      <c r="B5" s="2">
        <v>1800</v>
      </c>
      <c r="C5" s="1">
        <v>80</v>
      </c>
      <c r="D5">
        <v>2</v>
      </c>
      <c r="E5">
        <v>2</v>
      </c>
      <c r="F5">
        <v>8</v>
      </c>
      <c r="G5">
        <f t="shared" si="0"/>
        <v>160</v>
      </c>
      <c r="H5" s="3">
        <f t="shared" si="1"/>
        <v>3600</v>
      </c>
    </row>
    <row r="6" spans="1:9" x14ac:dyDescent="0.35">
      <c r="A6" t="s">
        <v>7</v>
      </c>
      <c r="B6" s="2">
        <v>2500</v>
      </c>
      <c r="C6" s="1">
        <v>85</v>
      </c>
      <c r="D6">
        <v>28</v>
      </c>
      <c r="E6">
        <v>28</v>
      </c>
      <c r="F6">
        <v>84</v>
      </c>
      <c r="G6">
        <f t="shared" si="0"/>
        <v>2380</v>
      </c>
      <c r="H6" s="3">
        <f t="shared" si="1"/>
        <v>70000</v>
      </c>
    </row>
    <row r="7" spans="1:9" x14ac:dyDescent="0.35">
      <c r="A7" t="s">
        <v>8</v>
      </c>
      <c r="B7" s="2">
        <v>3500</v>
      </c>
      <c r="C7" s="1">
        <v>100</v>
      </c>
      <c r="D7">
        <v>28</v>
      </c>
      <c r="E7">
        <v>28</v>
      </c>
      <c r="F7">
        <v>56</v>
      </c>
      <c r="G7">
        <f t="shared" si="0"/>
        <v>2800</v>
      </c>
      <c r="H7" s="3">
        <f t="shared" si="1"/>
        <v>98000</v>
      </c>
    </row>
    <row r="8" spans="1:9" x14ac:dyDescent="0.35">
      <c r="A8" t="s">
        <v>9</v>
      </c>
      <c r="B8" s="2">
        <v>750</v>
      </c>
      <c r="C8" s="1">
        <v>35</v>
      </c>
      <c r="D8">
        <v>3</v>
      </c>
      <c r="E8">
        <v>3</v>
      </c>
      <c r="F8">
        <v>10</v>
      </c>
      <c r="G8">
        <f t="shared" si="0"/>
        <v>105</v>
      </c>
      <c r="H8" s="3">
        <f t="shared" si="1"/>
        <v>2250</v>
      </c>
    </row>
    <row r="9" spans="1:9" x14ac:dyDescent="0.35">
      <c r="A9" t="s">
        <v>10</v>
      </c>
      <c r="B9" s="2">
        <v>150</v>
      </c>
      <c r="C9" s="1">
        <v>45</v>
      </c>
      <c r="D9">
        <v>140</v>
      </c>
      <c r="E9">
        <v>56</v>
      </c>
      <c r="F9">
        <v>140</v>
      </c>
      <c r="G9">
        <f t="shared" si="0"/>
        <v>6300</v>
      </c>
      <c r="H9" s="3">
        <f t="shared" si="1"/>
        <v>21000</v>
      </c>
    </row>
    <row r="10" spans="1:9" x14ac:dyDescent="0.35">
      <c r="A10" t="s">
        <v>11</v>
      </c>
      <c r="B10" s="2">
        <v>300</v>
      </c>
      <c r="C10" s="1">
        <v>55</v>
      </c>
      <c r="D10">
        <v>140</v>
      </c>
      <c r="E10">
        <v>56</v>
      </c>
      <c r="F10">
        <v>140</v>
      </c>
      <c r="G10">
        <f t="shared" si="0"/>
        <v>7700</v>
      </c>
      <c r="H10" s="3">
        <f t="shared" si="1"/>
        <v>42000</v>
      </c>
    </row>
    <row r="11" spans="1:9" x14ac:dyDescent="0.35">
      <c r="A11" t="s">
        <v>12</v>
      </c>
      <c r="B11" s="2">
        <v>500</v>
      </c>
      <c r="C11" s="1">
        <v>50</v>
      </c>
      <c r="D11">
        <v>12</v>
      </c>
      <c r="E11">
        <v>0</v>
      </c>
      <c r="F11">
        <v>12</v>
      </c>
      <c r="G11">
        <f t="shared" si="0"/>
        <v>600</v>
      </c>
      <c r="H11" s="3">
        <f t="shared" si="1"/>
        <v>6000</v>
      </c>
    </row>
    <row r="12" spans="1:9" ht="15" thickBot="1" x14ac:dyDescent="0.4">
      <c r="A12" t="s">
        <v>13</v>
      </c>
      <c r="B12" s="2">
        <v>900</v>
      </c>
      <c r="C12" s="1">
        <v>60</v>
      </c>
      <c r="D12">
        <v>12</v>
      </c>
      <c r="E12">
        <v>3</v>
      </c>
      <c r="F12">
        <v>12</v>
      </c>
      <c r="G12">
        <f t="shared" si="0"/>
        <v>720</v>
      </c>
      <c r="H12" s="3">
        <f t="shared" si="1"/>
        <v>10800</v>
      </c>
    </row>
    <row r="13" spans="1:9" ht="15" thickBot="1" x14ac:dyDescent="0.4">
      <c r="F13" t="s">
        <v>19</v>
      </c>
      <c r="G13" s="5">
        <f>SUM(G2:G12)</f>
        <v>23825</v>
      </c>
      <c r="H13" s="4">
        <f>SUM(H2:H12)</f>
        <v>299850</v>
      </c>
    </row>
    <row r="15" spans="1:9" x14ac:dyDescent="0.35">
      <c r="G15" t="s">
        <v>20</v>
      </c>
      <c r="H15" s="4">
        <v>300000</v>
      </c>
    </row>
    <row r="17" spans="1:4" x14ac:dyDescent="0.35">
      <c r="A17" t="s">
        <v>24</v>
      </c>
      <c r="B17" t="s">
        <v>14</v>
      </c>
      <c r="C17" t="s">
        <v>15</v>
      </c>
      <c r="D17" t="s">
        <v>16</v>
      </c>
    </row>
    <row r="18" spans="1:4" x14ac:dyDescent="0.35">
      <c r="A18" t="s">
        <v>21</v>
      </c>
      <c r="B18" s="1">
        <v>24</v>
      </c>
      <c r="C18" s="1">
        <v>24</v>
      </c>
      <c r="D18" s="1">
        <v>48</v>
      </c>
    </row>
    <row r="19" spans="1:4" x14ac:dyDescent="0.35">
      <c r="A19" t="s">
        <v>22</v>
      </c>
      <c r="B19" s="1">
        <v>2</v>
      </c>
      <c r="C19" s="1">
        <v>2</v>
      </c>
      <c r="D19" s="1">
        <v>8</v>
      </c>
    </row>
    <row r="20" spans="1:4" x14ac:dyDescent="0.35">
      <c r="A20" t="s">
        <v>23</v>
      </c>
      <c r="B20" s="1">
        <v>3</v>
      </c>
      <c r="C20" s="1">
        <v>3</v>
      </c>
      <c r="D20" s="1">
        <v>12</v>
      </c>
    </row>
    <row r="22" spans="1:4" x14ac:dyDescent="0.35">
      <c r="A22" t="s">
        <v>26</v>
      </c>
      <c r="C22" t="s">
        <v>25</v>
      </c>
    </row>
    <row r="23" spans="1:4" x14ac:dyDescent="0.35">
      <c r="A23" t="s">
        <v>27</v>
      </c>
    </row>
    <row r="24" spans="1:4" x14ac:dyDescent="0.35">
      <c r="A24" t="s">
        <v>30</v>
      </c>
    </row>
    <row r="25" spans="1:4" x14ac:dyDescent="0.35">
      <c r="A25" t="s">
        <v>29</v>
      </c>
    </row>
    <row r="28" spans="1:4" x14ac:dyDescent="0.35">
      <c r="A28" t="s">
        <v>28</v>
      </c>
    </row>
    <row r="29" spans="1:4" x14ac:dyDescent="0.35">
      <c r="A29" t="s">
        <v>19</v>
      </c>
      <c r="B29">
        <v>30585</v>
      </c>
      <c r="C29" s="4">
        <v>299950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0046-C9CD-4B12-83BB-E483C98E2DBA}">
  <dimension ref="A1:I22"/>
  <sheetViews>
    <sheetView zoomScale="88" workbookViewId="0">
      <selection activeCell="G20" sqref="G20"/>
    </sheetView>
  </sheetViews>
  <sheetFormatPr defaultRowHeight="14.5" x14ac:dyDescent="0.35"/>
  <cols>
    <col min="1" max="1" width="23.36328125" customWidth="1"/>
    <col min="2" max="2" width="27.54296875" customWidth="1"/>
    <col min="3" max="3" width="21.54296875" customWidth="1"/>
    <col min="4" max="4" width="9.26953125" customWidth="1"/>
    <col min="7" max="7" width="11.6328125" customWidth="1"/>
    <col min="8" max="8" width="13.08984375" customWidth="1"/>
  </cols>
  <sheetData>
    <row r="1" spans="1:9" x14ac:dyDescent="0.35">
      <c r="A1" t="s">
        <v>0</v>
      </c>
      <c r="B1" t="s">
        <v>1</v>
      </c>
      <c r="C1" t="s">
        <v>2</v>
      </c>
      <c r="D1" t="s">
        <v>14</v>
      </c>
      <c r="E1" t="s">
        <v>15</v>
      </c>
      <c r="F1" t="s">
        <v>16</v>
      </c>
      <c r="G1" t="s">
        <v>17</v>
      </c>
      <c r="H1" t="s">
        <v>18</v>
      </c>
      <c r="I1" t="s">
        <v>25</v>
      </c>
    </row>
    <row r="2" spans="1:9" x14ac:dyDescent="0.35">
      <c r="A2" t="s">
        <v>3</v>
      </c>
      <c r="B2" s="2">
        <v>800</v>
      </c>
      <c r="C2" s="1">
        <v>55</v>
      </c>
      <c r="D2">
        <v>48</v>
      </c>
      <c r="E2">
        <v>24</v>
      </c>
      <c r="F2">
        <v>48</v>
      </c>
      <c r="G2">
        <f>C2*D2</f>
        <v>2640</v>
      </c>
      <c r="H2" s="3">
        <f>B2*D2</f>
        <v>38400</v>
      </c>
    </row>
    <row r="3" spans="1:9" x14ac:dyDescent="0.35">
      <c r="A3" t="s">
        <v>4</v>
      </c>
      <c r="B3" s="2">
        <v>1400</v>
      </c>
      <c r="C3" s="1">
        <v>75</v>
      </c>
      <c r="D3">
        <v>3</v>
      </c>
      <c r="E3">
        <v>2</v>
      </c>
      <c r="F3">
        <v>48</v>
      </c>
      <c r="G3">
        <f t="shared" ref="G3:G12" si="0">C3*D3</f>
        <v>225</v>
      </c>
      <c r="H3" s="3">
        <f t="shared" ref="H3:H12" si="1">B3*D3</f>
        <v>4200</v>
      </c>
    </row>
    <row r="4" spans="1:9" x14ac:dyDescent="0.35">
      <c r="A4" t="s">
        <v>5</v>
      </c>
      <c r="B4" s="2">
        <v>1200</v>
      </c>
      <c r="C4" s="1">
        <v>65</v>
      </c>
      <c r="D4">
        <v>3</v>
      </c>
      <c r="E4">
        <v>0</v>
      </c>
      <c r="F4">
        <v>8</v>
      </c>
      <c r="G4">
        <f t="shared" si="0"/>
        <v>195</v>
      </c>
      <c r="H4" s="3">
        <f t="shared" si="1"/>
        <v>3600</v>
      </c>
    </row>
    <row r="5" spans="1:9" x14ac:dyDescent="0.35">
      <c r="A5" t="s">
        <v>6</v>
      </c>
      <c r="B5" s="2">
        <v>1800</v>
      </c>
      <c r="C5" s="1">
        <v>80</v>
      </c>
      <c r="D5">
        <v>2</v>
      </c>
      <c r="E5">
        <v>2</v>
      </c>
      <c r="F5">
        <v>8</v>
      </c>
      <c r="G5">
        <f t="shared" si="0"/>
        <v>160</v>
      </c>
      <c r="H5" s="3">
        <f t="shared" si="1"/>
        <v>3600</v>
      </c>
    </row>
    <row r="6" spans="1:9" x14ac:dyDescent="0.35">
      <c r="A6" t="s">
        <v>7</v>
      </c>
      <c r="B6" s="2">
        <v>2500</v>
      </c>
      <c r="C6" s="1">
        <v>85</v>
      </c>
      <c r="D6">
        <v>28</v>
      </c>
      <c r="E6">
        <v>28</v>
      </c>
      <c r="F6">
        <v>84</v>
      </c>
      <c r="G6">
        <f t="shared" si="0"/>
        <v>2380</v>
      </c>
      <c r="H6" s="3">
        <f t="shared" si="1"/>
        <v>70000</v>
      </c>
    </row>
    <row r="7" spans="1:9" x14ac:dyDescent="0.35">
      <c r="A7" t="s">
        <v>8</v>
      </c>
      <c r="B7" s="2">
        <v>3500</v>
      </c>
      <c r="C7" s="1">
        <v>100</v>
      </c>
      <c r="D7">
        <v>28</v>
      </c>
      <c r="E7">
        <v>28</v>
      </c>
      <c r="F7">
        <v>84</v>
      </c>
      <c r="G7">
        <f t="shared" si="0"/>
        <v>2800</v>
      </c>
      <c r="H7" s="3">
        <f t="shared" si="1"/>
        <v>98000</v>
      </c>
    </row>
    <row r="8" spans="1:9" x14ac:dyDescent="0.35">
      <c r="A8" t="s">
        <v>9</v>
      </c>
      <c r="B8" s="2">
        <v>750</v>
      </c>
      <c r="C8" s="1">
        <v>35</v>
      </c>
      <c r="D8">
        <v>3</v>
      </c>
      <c r="E8">
        <v>3</v>
      </c>
      <c r="F8">
        <v>10</v>
      </c>
      <c r="G8">
        <f t="shared" si="0"/>
        <v>105</v>
      </c>
      <c r="H8" s="3">
        <f t="shared" si="1"/>
        <v>2250</v>
      </c>
    </row>
    <row r="9" spans="1:9" x14ac:dyDescent="0.35">
      <c r="A9" t="s">
        <v>10</v>
      </c>
      <c r="B9" s="2">
        <v>150</v>
      </c>
      <c r="C9" s="1">
        <v>45</v>
      </c>
      <c r="D9">
        <v>140</v>
      </c>
      <c r="E9">
        <v>56</v>
      </c>
      <c r="F9">
        <v>140</v>
      </c>
      <c r="G9">
        <f t="shared" si="0"/>
        <v>6300</v>
      </c>
      <c r="H9" s="3">
        <f t="shared" si="1"/>
        <v>21000</v>
      </c>
    </row>
    <row r="10" spans="1:9" x14ac:dyDescent="0.35">
      <c r="A10" t="s">
        <v>11</v>
      </c>
      <c r="B10" s="2">
        <v>300</v>
      </c>
      <c r="C10" s="1">
        <v>55</v>
      </c>
      <c r="D10">
        <v>140</v>
      </c>
      <c r="E10">
        <v>56</v>
      </c>
      <c r="F10">
        <v>140</v>
      </c>
      <c r="G10">
        <f t="shared" si="0"/>
        <v>7700</v>
      </c>
      <c r="H10" s="3">
        <f t="shared" si="1"/>
        <v>42000</v>
      </c>
    </row>
    <row r="11" spans="1:9" x14ac:dyDescent="0.35">
      <c r="A11" t="s">
        <v>12</v>
      </c>
      <c r="B11" s="2">
        <v>500</v>
      </c>
      <c r="C11" s="1">
        <v>50</v>
      </c>
      <c r="D11">
        <v>12</v>
      </c>
      <c r="E11">
        <v>0</v>
      </c>
      <c r="F11">
        <v>12</v>
      </c>
      <c r="G11">
        <f t="shared" si="0"/>
        <v>600</v>
      </c>
      <c r="H11" s="3">
        <f t="shared" si="1"/>
        <v>6000</v>
      </c>
    </row>
    <row r="12" spans="1:9" x14ac:dyDescent="0.35">
      <c r="A12" t="s">
        <v>13</v>
      </c>
      <c r="B12" s="2">
        <v>900</v>
      </c>
      <c r="C12" s="1">
        <v>60</v>
      </c>
      <c r="D12">
        <v>12</v>
      </c>
      <c r="E12">
        <v>3</v>
      </c>
      <c r="F12">
        <v>12</v>
      </c>
      <c r="G12">
        <f t="shared" si="0"/>
        <v>720</v>
      </c>
      <c r="H12" s="3">
        <f t="shared" si="1"/>
        <v>10800</v>
      </c>
    </row>
    <row r="13" spans="1:9" x14ac:dyDescent="0.35">
      <c r="F13" t="s">
        <v>19</v>
      </c>
      <c r="G13">
        <f>SUM(G2:G12)</f>
        <v>23825</v>
      </c>
      <c r="H13" s="4">
        <f>SUM(H2:H12)</f>
        <v>299850</v>
      </c>
    </row>
    <row r="15" spans="1:9" x14ac:dyDescent="0.35">
      <c r="G15" t="s">
        <v>20</v>
      </c>
      <c r="H15" s="4">
        <v>300000</v>
      </c>
    </row>
    <row r="17" spans="1:4" x14ac:dyDescent="0.35">
      <c r="A17" t="s">
        <v>24</v>
      </c>
      <c r="B17" t="s">
        <v>14</v>
      </c>
      <c r="C17" t="s">
        <v>15</v>
      </c>
      <c r="D17" t="s">
        <v>16</v>
      </c>
    </row>
    <row r="18" spans="1:4" x14ac:dyDescent="0.35">
      <c r="A18" t="s">
        <v>21</v>
      </c>
      <c r="B18" s="1">
        <v>24</v>
      </c>
      <c r="C18" s="1">
        <v>24</v>
      </c>
      <c r="D18" s="1">
        <v>48</v>
      </c>
    </row>
    <row r="19" spans="1:4" x14ac:dyDescent="0.35">
      <c r="A19" t="s">
        <v>22</v>
      </c>
      <c r="B19" s="1">
        <v>2</v>
      </c>
      <c r="C19" s="1">
        <v>2</v>
      </c>
      <c r="D19" s="1">
        <v>8</v>
      </c>
    </row>
    <row r="20" spans="1:4" x14ac:dyDescent="0.35">
      <c r="A20" t="s">
        <v>23</v>
      </c>
      <c r="B20" s="1">
        <v>3</v>
      </c>
      <c r="C20" s="1">
        <v>3</v>
      </c>
      <c r="D20" s="1">
        <v>12</v>
      </c>
    </row>
    <row r="22" spans="1:4" x14ac:dyDescent="0.35">
      <c r="C2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33A6-FF17-4444-9F4A-3A176CDFDB25}">
  <dimension ref="A1:I22"/>
  <sheetViews>
    <sheetView zoomScale="88" workbookViewId="0">
      <selection activeCell="N16" sqref="N16"/>
    </sheetView>
  </sheetViews>
  <sheetFormatPr defaultRowHeight="14.5" x14ac:dyDescent="0.35"/>
  <cols>
    <col min="1" max="1" width="23.36328125" customWidth="1"/>
    <col min="2" max="2" width="27.54296875" customWidth="1"/>
    <col min="3" max="3" width="21.54296875" customWidth="1"/>
    <col min="4" max="4" width="9.26953125" customWidth="1"/>
    <col min="7" max="7" width="11.6328125" customWidth="1"/>
    <col min="8" max="8" width="13.08984375" customWidth="1"/>
  </cols>
  <sheetData>
    <row r="1" spans="1:9" x14ac:dyDescent="0.35">
      <c r="A1" t="s">
        <v>0</v>
      </c>
      <c r="B1" t="s">
        <v>1</v>
      </c>
      <c r="C1" t="s">
        <v>2</v>
      </c>
      <c r="D1" t="s">
        <v>14</v>
      </c>
      <c r="E1" t="s">
        <v>15</v>
      </c>
      <c r="F1" t="s">
        <v>16</v>
      </c>
      <c r="G1" t="s">
        <v>17</v>
      </c>
      <c r="H1" t="s">
        <v>18</v>
      </c>
      <c r="I1" t="s">
        <v>25</v>
      </c>
    </row>
    <row r="2" spans="1:9" x14ac:dyDescent="0.35">
      <c r="A2" t="s">
        <v>3</v>
      </c>
      <c r="B2" s="2">
        <v>800</v>
      </c>
      <c r="C2" s="1">
        <v>55</v>
      </c>
      <c r="D2">
        <v>24</v>
      </c>
      <c r="E2">
        <v>24</v>
      </c>
      <c r="F2">
        <v>48</v>
      </c>
      <c r="G2">
        <f>C2*D2</f>
        <v>1320</v>
      </c>
      <c r="H2" s="3">
        <f>B2*D2</f>
        <v>19200</v>
      </c>
    </row>
    <row r="3" spans="1:9" x14ac:dyDescent="0.35">
      <c r="A3" t="s">
        <v>4</v>
      </c>
      <c r="B3" s="2">
        <v>1400</v>
      </c>
      <c r="C3" s="1">
        <v>75</v>
      </c>
      <c r="D3">
        <v>2</v>
      </c>
      <c r="E3">
        <v>2</v>
      </c>
      <c r="F3">
        <v>48</v>
      </c>
      <c r="G3">
        <f t="shared" ref="G3:G12" si="0">C3*D3</f>
        <v>150</v>
      </c>
      <c r="H3" s="3">
        <f t="shared" ref="H3:H12" si="1">B3*D3</f>
        <v>2800</v>
      </c>
    </row>
    <row r="4" spans="1:9" x14ac:dyDescent="0.35">
      <c r="A4" t="s">
        <v>5</v>
      </c>
      <c r="B4" s="2">
        <v>1200</v>
      </c>
      <c r="C4" s="1">
        <v>65</v>
      </c>
      <c r="D4">
        <v>0</v>
      </c>
      <c r="E4">
        <v>0</v>
      </c>
      <c r="F4">
        <v>8</v>
      </c>
      <c r="G4">
        <f t="shared" si="0"/>
        <v>0</v>
      </c>
      <c r="H4" s="3">
        <f t="shared" si="1"/>
        <v>0</v>
      </c>
    </row>
    <row r="5" spans="1:9" x14ac:dyDescent="0.35">
      <c r="A5" t="s">
        <v>6</v>
      </c>
      <c r="B5" s="2">
        <v>1800</v>
      </c>
      <c r="C5" s="1">
        <v>80</v>
      </c>
      <c r="D5">
        <v>2</v>
      </c>
      <c r="E5">
        <v>2</v>
      </c>
      <c r="F5">
        <v>8</v>
      </c>
      <c r="G5">
        <f t="shared" si="0"/>
        <v>160</v>
      </c>
      <c r="H5" s="3">
        <f t="shared" si="1"/>
        <v>3600</v>
      </c>
    </row>
    <row r="6" spans="1:9" x14ac:dyDescent="0.35">
      <c r="A6" t="s">
        <v>7</v>
      </c>
      <c r="B6" s="2">
        <v>2500</v>
      </c>
      <c r="C6" s="1">
        <v>85</v>
      </c>
      <c r="D6">
        <v>28</v>
      </c>
      <c r="E6">
        <v>28</v>
      </c>
      <c r="F6">
        <v>84</v>
      </c>
      <c r="G6">
        <f t="shared" si="0"/>
        <v>2380</v>
      </c>
      <c r="H6" s="3">
        <f t="shared" si="1"/>
        <v>70000</v>
      </c>
    </row>
    <row r="7" spans="1:9" x14ac:dyDescent="0.35">
      <c r="A7" t="s">
        <v>8</v>
      </c>
      <c r="B7" s="2">
        <v>3500</v>
      </c>
      <c r="C7" s="1">
        <v>100</v>
      </c>
      <c r="D7">
        <v>28</v>
      </c>
      <c r="E7">
        <v>28</v>
      </c>
      <c r="F7">
        <v>56</v>
      </c>
      <c r="G7">
        <f t="shared" si="0"/>
        <v>2800</v>
      </c>
      <c r="H7" s="3">
        <f t="shared" si="1"/>
        <v>98000</v>
      </c>
    </row>
    <row r="8" spans="1:9" x14ac:dyDescent="0.35">
      <c r="A8" t="s">
        <v>9</v>
      </c>
      <c r="B8" s="2">
        <v>750</v>
      </c>
      <c r="C8" s="1">
        <v>35</v>
      </c>
      <c r="D8">
        <v>3</v>
      </c>
      <c r="E8">
        <v>3</v>
      </c>
      <c r="F8">
        <v>10</v>
      </c>
      <c r="G8">
        <f t="shared" si="0"/>
        <v>105</v>
      </c>
      <c r="H8" s="3">
        <f t="shared" si="1"/>
        <v>2250</v>
      </c>
    </row>
    <row r="9" spans="1:9" x14ac:dyDescent="0.35">
      <c r="A9" t="s">
        <v>10</v>
      </c>
      <c r="B9" s="2">
        <v>150</v>
      </c>
      <c r="C9" s="1">
        <v>45</v>
      </c>
      <c r="D9">
        <v>280</v>
      </c>
      <c r="E9">
        <v>56</v>
      </c>
      <c r="F9">
        <v>280</v>
      </c>
      <c r="G9">
        <f t="shared" si="0"/>
        <v>12600</v>
      </c>
      <c r="H9" s="3">
        <f t="shared" si="1"/>
        <v>42000</v>
      </c>
    </row>
    <row r="10" spans="1:9" x14ac:dyDescent="0.35">
      <c r="A10" t="s">
        <v>11</v>
      </c>
      <c r="B10" s="2">
        <v>300</v>
      </c>
      <c r="C10" s="1">
        <v>55</v>
      </c>
      <c r="D10">
        <v>198</v>
      </c>
      <c r="E10">
        <v>56</v>
      </c>
      <c r="F10">
        <v>280</v>
      </c>
      <c r="G10">
        <f t="shared" si="0"/>
        <v>10890</v>
      </c>
      <c r="H10" s="3">
        <f t="shared" si="1"/>
        <v>59400</v>
      </c>
    </row>
    <row r="11" spans="1:9" x14ac:dyDescent="0.35">
      <c r="A11" t="s">
        <v>12</v>
      </c>
      <c r="B11" s="2">
        <v>500</v>
      </c>
      <c r="C11" s="1">
        <v>50</v>
      </c>
      <c r="D11">
        <v>0</v>
      </c>
      <c r="E11">
        <v>0</v>
      </c>
      <c r="F11">
        <v>12</v>
      </c>
      <c r="G11">
        <f t="shared" si="0"/>
        <v>0</v>
      </c>
      <c r="H11" s="3">
        <f t="shared" si="1"/>
        <v>0</v>
      </c>
    </row>
    <row r="12" spans="1:9" x14ac:dyDescent="0.35">
      <c r="A12" t="s">
        <v>13</v>
      </c>
      <c r="B12" s="2">
        <v>900</v>
      </c>
      <c r="C12" s="1">
        <v>60</v>
      </c>
      <c r="D12">
        <v>3</v>
      </c>
      <c r="E12">
        <v>3</v>
      </c>
      <c r="F12">
        <v>12</v>
      </c>
      <c r="G12">
        <f t="shared" si="0"/>
        <v>180</v>
      </c>
      <c r="H12" s="3">
        <f t="shared" si="1"/>
        <v>2700</v>
      </c>
    </row>
    <row r="13" spans="1:9" x14ac:dyDescent="0.35">
      <c r="F13" t="s">
        <v>19</v>
      </c>
      <c r="G13">
        <f>SUM(G2:G12)</f>
        <v>30585</v>
      </c>
      <c r="H13" s="4">
        <f>SUM(H2:H12)</f>
        <v>299950</v>
      </c>
    </row>
    <row r="15" spans="1:9" x14ac:dyDescent="0.35">
      <c r="G15" t="s">
        <v>20</v>
      </c>
      <c r="H15" s="4">
        <v>300000</v>
      </c>
    </row>
    <row r="17" spans="1:4" x14ac:dyDescent="0.35">
      <c r="A17" t="s">
        <v>24</v>
      </c>
      <c r="B17" t="s">
        <v>14</v>
      </c>
      <c r="C17" t="s">
        <v>15</v>
      </c>
      <c r="D17" t="s">
        <v>16</v>
      </c>
    </row>
    <row r="18" spans="1:4" x14ac:dyDescent="0.35">
      <c r="A18" t="s">
        <v>21</v>
      </c>
      <c r="B18" s="1">
        <v>24</v>
      </c>
      <c r="C18" s="1">
        <v>24</v>
      </c>
      <c r="D18" s="1">
        <v>48</v>
      </c>
    </row>
    <row r="19" spans="1:4" x14ac:dyDescent="0.35">
      <c r="A19" t="s">
        <v>22</v>
      </c>
      <c r="B19" s="1">
        <v>2</v>
      </c>
      <c r="C19" s="1">
        <v>2</v>
      </c>
      <c r="D19" s="1">
        <v>8</v>
      </c>
    </row>
    <row r="20" spans="1:4" x14ac:dyDescent="0.35">
      <c r="A20" t="s">
        <v>23</v>
      </c>
      <c r="B20" s="1">
        <v>3</v>
      </c>
      <c r="C20" s="1">
        <v>3</v>
      </c>
      <c r="D20" s="1">
        <v>12</v>
      </c>
    </row>
    <row r="22" spans="1:4" x14ac:dyDescent="0.35">
      <c r="C2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question C </vt:lpstr>
      <vt:lpstr>question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Jimeng Yin</dc:creator>
  <cp:lastModifiedBy>Jimeng Yin</cp:lastModifiedBy>
  <dcterms:created xsi:type="dcterms:W3CDTF">2015-06-05T18:17:20Z</dcterms:created>
  <dcterms:modified xsi:type="dcterms:W3CDTF">2023-10-26T22:03:29Z</dcterms:modified>
</cp:coreProperties>
</file>